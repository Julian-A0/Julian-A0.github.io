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tch\Downloads\"/>
    </mc:Choice>
  </mc:AlternateContent>
  <xr:revisionPtr revIDLastSave="0" documentId="8_{941C0450-D7DB-4C49-AB0B-BBDF95565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1" i="1"/>
  <c r="G30" i="1"/>
  <c r="G29" i="1"/>
  <c r="G23" i="1"/>
  <c r="G19" i="1"/>
  <c r="G18" i="1"/>
  <c r="G17" i="1"/>
  <c r="G13" i="1"/>
  <c r="G12" i="1"/>
  <c r="G11" i="1"/>
  <c r="G10" i="1"/>
  <c r="G9" i="1"/>
  <c r="G20" i="1" l="1"/>
  <c r="G22" i="1" s="1"/>
  <c r="G32" i="1"/>
  <c r="G40" i="1"/>
  <c r="G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<sst xmlns="http://schemas.openxmlformats.org/spreadsheetml/2006/main" count="113" uniqueCount="64">
  <si>
    <t>Power Budget Example</t>
  </si>
  <si>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</si>
  <si>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</si>
  <si>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</si>
  <si>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</si>
  <si>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</si>
  <si>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</si>
  <si>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</si>
  <si>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</si>
  <si>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</si>
  <si>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</si>
  <si>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</si>
  <si>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</si>
  <si>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</si>
  <si>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(full part number)</t>
  </si>
  <si>
    <t xml:space="preserve"> +12 - 24V</t>
  </si>
  <si>
    <t>mA</t>
  </si>
  <si>
    <t>(range)</t>
  </si>
  <si>
    <t xml:space="preserve"> +5 to -5</t>
  </si>
  <si>
    <t xml:space="preserve"> +5V - 35V</t>
  </si>
  <si>
    <t xml:space="preserve"> +1.8 - 3.3V</t>
  </si>
  <si>
    <t xml:space="preserve">Subtotal </t>
  </si>
  <si>
    <t>Safety Margin</t>
  </si>
  <si>
    <t>Total Current Required on +12V Rail</t>
  </si>
  <si>
    <t>Regulator</t>
  </si>
  <si>
    <t xml:space="preserve"> +12V regulator</t>
  </si>
  <si>
    <t>LM7812</t>
  </si>
  <si>
    <t xml:space="preserve"> +12V - 35V</t>
  </si>
  <si>
    <t>Supply
Voltage
Range</t>
  </si>
  <si>
    <t>Absolute
Maximum
Current (mA)</t>
  </si>
  <si>
    <t>Total
Current
(mA)</t>
  </si>
  <si>
    <t xml:space="preserve"> +5V Regulator</t>
  </si>
  <si>
    <t>LM7805</t>
  </si>
  <si>
    <t xml:space="preserve"> +3.3V low-dropout regulator</t>
  </si>
  <si>
    <t>KA78RM33RTF</t>
  </si>
  <si>
    <t xml:space="preserve"> +5V - 20V</t>
  </si>
  <si>
    <t>Total Remaining Current Available on 3.3V Rail</t>
  </si>
  <si>
    <t>External Power Source 1</t>
  </si>
  <si>
    <t>Output Voltage</t>
  </si>
  <si>
    <t>Power Source 1 Selection</t>
  </si>
  <si>
    <t>Plug-in Wall Supply</t>
  </si>
  <si>
    <t>110VAC</t>
  </si>
  <si>
    <t xml:space="preserve"> +24V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</si>
  <si>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</si>
  <si>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</si>
  <si>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</si>
  <si>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</si>
  <si>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</si>
  <si>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 xml:space="preserve"> +9V</t>
  </si>
  <si>
    <t>-9V</t>
  </si>
  <si>
    <t>Power Rails Connected to External Power Source 2</t>
  </si>
  <si>
    <t xml:space="preserve"> -5V Regulator</t>
  </si>
  <si>
    <t>Total Remaining Current Available on External Power Source 2</t>
  </si>
  <si>
    <t>JECK Water Leak Detection System</t>
  </si>
  <si>
    <t>Chris, Elisabeth, Khalid, Julian</t>
  </si>
  <si>
    <t>DC Barrel Jack Switch</t>
  </si>
  <si>
    <t>SEN0257</t>
  </si>
  <si>
    <t>DFRobot Pressure Sensor</t>
  </si>
  <si>
    <t>MCP 6004 Opamp</t>
  </si>
  <si>
    <t>LM7805 5V regulator</t>
  </si>
  <si>
    <t>MCP6004-I/P</t>
  </si>
  <si>
    <t>LM7805CT/NOPB</t>
  </si>
  <si>
    <t xml:space="preserve"> +9V Power Rail</t>
  </si>
  <si>
    <t>PJ-102AH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</si>
</sst>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sz val="7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4" fillId="0" borderId="3" xfId="0" applyFont="1" applyBorder="1"/>
    <xf numFmtId="0" fontId="3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4" xfId="0" applyFont="1" applyBorder="1"/>
    <xf numFmtId="0" fontId="2" fillId="0" borderId="16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3" borderId="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3" fillId="0" borderId="14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24" xfId="0" applyFont="1" applyBorder="1"/>
    <xf numFmtId="49" fontId="5" fillId="0" borderId="35" xfId="0" applyNumberFormat="1" applyFont="1" applyBorder="1" applyAlignment="1">
      <alignment horizontal="right"/>
    </xf>
    <xf numFmtId="0" fontId="2" fillId="0" borderId="36" xfId="0" applyFont="1" applyBorder="1"/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10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0" fontId="0" fillId="5" borderId="0" xfId="0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workbookViewId="0">
      <selection activeCell="B20" sqref="B20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5.69921875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10" ht="30" customHeight="1" x14ac:dyDescent="0.6">
      <c r="A1" s="61" t="s">
        <v>0</v>
      </c>
      <c r="B1" s="62"/>
      <c r="C1" s="62"/>
      <c r="D1" s="62"/>
      <c r="E1" s="62"/>
      <c r="F1" s="62"/>
      <c r="G1" s="62"/>
      <c r="H1" s="62"/>
    </row>
    <row r="2" spans="1:10" ht="15" customHeight="1" x14ac:dyDescent="0.3">
      <c r="A2" s="9" t="s">
        <v>1</v>
      </c>
      <c r="B2" s="10">
        <v>208</v>
      </c>
      <c r="D2" s="2"/>
      <c r="E2" s="2"/>
    </row>
    <row r="3" spans="1:10" ht="15" customHeight="1" x14ac:dyDescent="0.3">
      <c r="A3" s="9" t="s">
        <v>2</v>
      </c>
      <c r="B3" s="11" t="s">
        <v>53</v>
      </c>
      <c r="C3" s="3"/>
      <c r="D3" s="2"/>
      <c r="E3" s="2"/>
      <c r="F3" s="2"/>
      <c r="G3" s="2"/>
      <c r="H3" s="2"/>
    </row>
    <row r="4" spans="1:10" ht="15" customHeight="1" x14ac:dyDescent="0.3">
      <c r="A4" s="9" t="s">
        <v>3</v>
      </c>
      <c r="B4" s="11" t="s">
        <v>54</v>
      </c>
      <c r="C4" s="3"/>
      <c r="D4" s="2"/>
      <c r="E4" s="2"/>
      <c r="F4" s="2"/>
      <c r="G4" s="2"/>
      <c r="H4" s="2"/>
    </row>
    <row r="5" spans="1:10" ht="15" customHeight="1" x14ac:dyDescent="0.3">
      <c r="A5" s="9" t="s">
        <v>4</v>
      </c>
      <c r="B5" s="11">
        <v>0.1</v>
      </c>
      <c r="C5" s="3"/>
      <c r="D5" s="2"/>
      <c r="E5" s="2"/>
      <c r="F5" s="2"/>
      <c r="G5" s="2"/>
      <c r="H5" s="2"/>
    </row>
    <row r="6" spans="1:10" ht="15" customHeight="1" x14ac:dyDescent="0.3">
      <c r="A6" s="3"/>
      <c r="B6" s="3"/>
      <c r="C6" s="3"/>
      <c r="D6" s="2"/>
      <c r="E6" s="2"/>
      <c r="F6" s="2"/>
      <c r="G6" s="2"/>
      <c r="H6" s="2"/>
    </row>
    <row r="7" spans="1:10" ht="15" hidden="1" customHeight="1" x14ac:dyDescent="0.3">
      <c r="A7" s="63" t="s">
        <v>5</v>
      </c>
      <c r="B7" s="64"/>
      <c r="C7" s="64"/>
      <c r="D7" s="64"/>
      <c r="E7" s="64"/>
      <c r="F7" s="64"/>
      <c r="G7" s="64"/>
      <c r="H7" s="65"/>
    </row>
    <row r="8" spans="1:10" ht="47.4" thickBot="1" x14ac:dyDescent="0.35">
      <c r="A8" s="17" t="s">
        <v>6</v>
      </c>
      <c r="B8" s="18" t="s">
        <v>7</v>
      </c>
      <c r="C8" s="18" t="s">
        <v>8</v>
      </c>
      <c r="D8" s="19" t="s">
        <v>9</v>
      </c>
      <c r="E8" s="18" t="s">
        <v>10</v>
      </c>
      <c r="F8" s="19" t="s">
        <v>11</v>
      </c>
      <c r="G8" s="19" t="s">
        <v>12</v>
      </c>
      <c r="H8" s="18" t="s">
        <v>13</v>
      </c>
    </row>
    <row r="9" spans="1:10" ht="15" customHeight="1" x14ac:dyDescent="0.3">
      <c r="A9" s="4"/>
      <c r="B9" s="23" t="s">
        <v>58</v>
      </c>
      <c r="C9" s="24" t="s">
        <v>60</v>
      </c>
      <c r="D9" s="25" t="s">
        <v>15</v>
      </c>
      <c r="E9" s="25">
        <v>1</v>
      </c>
      <c r="F9" s="25">
        <v>500</v>
      </c>
      <c r="G9" s="25">
        <f t="shared" ref="G9:G13" si="0">E9*F9</f>
        <v>500</v>
      </c>
      <c r="H9" s="30" t="s">
        <v>16</v>
      </c>
    </row>
    <row r="10" spans="1:10" ht="15" customHeight="1" x14ac:dyDescent="0.3">
      <c r="A10" s="4"/>
      <c r="B10" s="26" t="s">
        <v>55</v>
      </c>
      <c r="C10" s="12" t="s">
        <v>63</v>
      </c>
      <c r="D10" s="13" t="s">
        <v>15</v>
      </c>
      <c r="E10" s="13">
        <v>1</v>
      </c>
      <c r="F10" s="13">
        <v>5000</v>
      </c>
      <c r="G10" s="13">
        <f t="shared" si="0"/>
        <v>5000</v>
      </c>
      <c r="H10" s="31" t="s">
        <v>16</v>
      </c>
      <c r="J10" s="79"/>
    </row>
    <row r="11" spans="1:10" ht="15" customHeight="1" x14ac:dyDescent="0.3">
      <c r="A11" s="4"/>
      <c r="B11" s="26" t="s">
        <v>57</v>
      </c>
      <c r="C11" s="12" t="s">
        <v>56</v>
      </c>
      <c r="D11" s="13" t="s">
        <v>17</v>
      </c>
      <c r="E11" s="13">
        <v>2</v>
      </c>
      <c r="F11" s="13">
        <v>200</v>
      </c>
      <c r="G11" s="13">
        <f t="shared" si="0"/>
        <v>400</v>
      </c>
      <c r="H11" s="31" t="s">
        <v>16</v>
      </c>
      <c r="J11" s="80"/>
    </row>
    <row r="12" spans="1:10" ht="15" customHeight="1" x14ac:dyDescent="0.3">
      <c r="A12" s="4"/>
      <c r="B12" s="26" t="s">
        <v>59</v>
      </c>
      <c r="C12" s="12" t="s">
        <v>61</v>
      </c>
      <c r="D12" s="14" t="s">
        <v>18</v>
      </c>
      <c r="E12" s="13">
        <v>1</v>
      </c>
      <c r="F12" s="13">
        <v>100</v>
      </c>
      <c r="G12" s="13">
        <f t="shared" si="0"/>
        <v>100</v>
      </c>
      <c r="H12" s="31" t="s">
        <v>16</v>
      </c>
    </row>
    <row r="13" spans="1:10" ht="15" customHeight="1" x14ac:dyDescent="0.3">
      <c r="A13" s="4"/>
      <c r="B13" s="26"/>
      <c r="C13" s="12"/>
      <c r="D13" s="13" t="s">
        <v>19</v>
      </c>
      <c r="E13" s="13">
        <v>1</v>
      </c>
      <c r="F13" s="13">
        <v>1000</v>
      </c>
      <c r="G13" s="13">
        <f t="shared" si="0"/>
        <v>1000</v>
      </c>
      <c r="H13" s="31" t="s">
        <v>16</v>
      </c>
    </row>
    <row r="14" spans="1:10" ht="15" customHeight="1" thickBot="1" x14ac:dyDescent="0.35">
      <c r="A14" s="4"/>
      <c r="B14" s="27"/>
      <c r="C14" s="28"/>
      <c r="D14" s="29" t="s">
        <v>20</v>
      </c>
      <c r="E14" s="29">
        <v>1</v>
      </c>
      <c r="F14" s="29">
        <v>350</v>
      </c>
      <c r="G14" s="29">
        <v>350</v>
      </c>
      <c r="H14" s="32" t="s">
        <v>16</v>
      </c>
    </row>
    <row r="15" spans="1:10" ht="15" customHeight="1" x14ac:dyDescent="0.3">
      <c r="A15" s="6"/>
      <c r="B15" s="11"/>
      <c r="C15" s="11"/>
      <c r="D15" s="21"/>
      <c r="E15" s="21"/>
      <c r="F15" s="21"/>
      <c r="G15" s="22"/>
      <c r="H15" s="22"/>
    </row>
    <row r="16" spans="1:10" ht="47.4" thickBot="1" x14ac:dyDescent="0.35">
      <c r="A16" s="39" t="s">
        <v>62</v>
      </c>
      <c r="B16" s="18" t="s">
        <v>7</v>
      </c>
      <c r="C16" s="18" t="s">
        <v>8</v>
      </c>
      <c r="D16" s="19" t="s">
        <v>9</v>
      </c>
      <c r="E16" s="18" t="s">
        <v>10</v>
      </c>
      <c r="F16" s="19" t="s">
        <v>11</v>
      </c>
      <c r="G16" s="19" t="s">
        <v>12</v>
      </c>
      <c r="H16" s="18" t="s">
        <v>13</v>
      </c>
    </row>
    <row r="17" spans="1:8" ht="15" customHeight="1" x14ac:dyDescent="0.3">
      <c r="A17" s="4"/>
      <c r="B17" s="15"/>
      <c r="C17" s="15" t="s">
        <v>14</v>
      </c>
      <c r="D17" s="16" t="s">
        <v>15</v>
      </c>
      <c r="E17" s="16">
        <v>1</v>
      </c>
      <c r="F17" s="16">
        <v>500</v>
      </c>
      <c r="G17" s="16">
        <f t="shared" ref="G17:G19" si="1">E17*F17</f>
        <v>500</v>
      </c>
      <c r="H17" s="16" t="s">
        <v>16</v>
      </c>
    </row>
    <row r="18" spans="1:8" ht="15" customHeight="1" x14ac:dyDescent="0.3">
      <c r="A18" s="4"/>
      <c r="B18" s="12"/>
      <c r="C18" s="12" t="s">
        <v>14</v>
      </c>
      <c r="D18" s="13" t="s">
        <v>15</v>
      </c>
      <c r="E18" s="13">
        <v>1</v>
      </c>
      <c r="F18" s="13">
        <v>300</v>
      </c>
      <c r="G18" s="13">
        <f t="shared" si="1"/>
        <v>300</v>
      </c>
      <c r="H18" s="13" t="s">
        <v>16</v>
      </c>
    </row>
    <row r="19" spans="1:8" ht="15" customHeight="1" thickBot="1" x14ac:dyDescent="0.35">
      <c r="A19" s="4"/>
      <c r="B19" s="33"/>
      <c r="C19" s="33"/>
      <c r="D19" s="34"/>
      <c r="E19" s="34"/>
      <c r="F19" s="34"/>
      <c r="G19" s="34">
        <f t="shared" si="1"/>
        <v>0</v>
      </c>
      <c r="H19" s="34" t="s">
        <v>16</v>
      </c>
    </row>
    <row r="20" spans="1:8" ht="15" customHeight="1" thickTop="1" x14ac:dyDescent="0.3">
      <c r="A20" s="4"/>
      <c r="B20" s="20"/>
      <c r="C20" s="20"/>
      <c r="D20" s="77" t="s">
        <v>21</v>
      </c>
      <c r="E20" s="77"/>
      <c r="F20" s="77"/>
      <c r="G20" s="16">
        <f>SUM(G17:G19)</f>
        <v>800</v>
      </c>
      <c r="H20" s="16" t="s">
        <v>16</v>
      </c>
    </row>
    <row r="21" spans="1:8" ht="15" customHeight="1" thickBot="1" x14ac:dyDescent="0.35">
      <c r="A21" s="4"/>
      <c r="B21" s="20"/>
      <c r="C21" s="20"/>
      <c r="D21" s="78" t="s">
        <v>22</v>
      </c>
      <c r="E21" s="78"/>
      <c r="F21" s="78"/>
      <c r="G21" s="35">
        <v>0.25</v>
      </c>
      <c r="H21" s="35"/>
    </row>
    <row r="22" spans="1:8" ht="15" customHeight="1" thickTop="1" x14ac:dyDescent="0.3">
      <c r="A22" s="7"/>
      <c r="B22" s="20"/>
      <c r="C22" s="20"/>
      <c r="D22" s="77" t="s">
        <v>23</v>
      </c>
      <c r="E22" s="77"/>
      <c r="F22" s="77"/>
      <c r="G22" s="16">
        <f>G20*(1+G21)</f>
        <v>1000</v>
      </c>
      <c r="H22" s="16" t="s">
        <v>16</v>
      </c>
    </row>
    <row r="23" spans="1:8" ht="15" customHeight="1" thickBot="1" x14ac:dyDescent="0.35">
      <c r="A23" s="60" t="s">
        <v>24</v>
      </c>
      <c r="B23" s="56" t="s">
        <v>33</v>
      </c>
      <c r="C23" s="57" t="s">
        <v>34</v>
      </c>
      <c r="D23" s="58" t="s">
        <v>35</v>
      </c>
      <c r="E23" s="58">
        <v>1</v>
      </c>
      <c r="F23" s="58">
        <v>500</v>
      </c>
      <c r="G23" s="58">
        <f>E23*F23</f>
        <v>500</v>
      </c>
      <c r="H23" s="58" t="s">
        <v>16</v>
      </c>
    </row>
    <row r="24" spans="1:8" ht="15" customHeight="1" thickTop="1" x14ac:dyDescent="0.3">
      <c r="A24" s="20"/>
      <c r="B24" s="74" t="s">
        <v>36</v>
      </c>
      <c r="C24" s="75"/>
      <c r="D24" s="75"/>
      <c r="E24" s="75"/>
      <c r="F24" s="76"/>
      <c r="G24" s="16" t="e">
        <f>G23-#REF!</f>
        <v>#REF!</v>
      </c>
      <c r="H24" s="16" t="s">
        <v>16</v>
      </c>
    </row>
    <row r="25" spans="1:8" ht="15" customHeight="1" thickBot="1" x14ac:dyDescent="0.35">
      <c r="A25" s="54"/>
      <c r="B25" s="54"/>
      <c r="C25" s="54"/>
      <c r="D25" s="54"/>
      <c r="E25" s="54"/>
      <c r="F25" s="55"/>
      <c r="G25" s="51"/>
      <c r="H25" s="50"/>
    </row>
    <row r="26" spans="1:8" ht="15" customHeight="1" thickBot="1" x14ac:dyDescent="0.35">
      <c r="A26" s="40" t="s">
        <v>37</v>
      </c>
      <c r="B26" s="41" t="s">
        <v>7</v>
      </c>
      <c r="C26" s="41" t="s">
        <v>8</v>
      </c>
      <c r="D26" s="42" t="s">
        <v>28</v>
      </c>
      <c r="E26" s="42" t="s">
        <v>38</v>
      </c>
      <c r="F26" s="42" t="s">
        <v>29</v>
      </c>
      <c r="G26" s="42" t="s">
        <v>30</v>
      </c>
      <c r="H26" s="43" t="s">
        <v>13</v>
      </c>
    </row>
    <row r="27" spans="1:8" ht="15.6" x14ac:dyDescent="0.3">
      <c r="A27" s="44" t="s">
        <v>39</v>
      </c>
      <c r="B27" s="38" t="s">
        <v>40</v>
      </c>
      <c r="C27" s="16" t="s">
        <v>14</v>
      </c>
      <c r="D27" s="16" t="s">
        <v>41</v>
      </c>
      <c r="E27" s="16" t="s">
        <v>42</v>
      </c>
      <c r="F27" s="16">
        <v>5000</v>
      </c>
      <c r="G27" s="16">
        <v>5000</v>
      </c>
      <c r="H27" s="45" t="s">
        <v>16</v>
      </c>
    </row>
    <row r="28" spans="1:8" ht="15" customHeight="1" x14ac:dyDescent="0.3">
      <c r="A28" s="46"/>
      <c r="B28" s="37"/>
      <c r="C28" s="37"/>
      <c r="D28" s="13"/>
      <c r="E28" s="13"/>
      <c r="F28" s="13"/>
      <c r="G28" s="13"/>
      <c r="H28" s="31"/>
    </row>
    <row r="29" spans="1:8" ht="15" customHeight="1" x14ac:dyDescent="0.3">
      <c r="A29" s="66" t="s">
        <v>43</v>
      </c>
      <c r="B29" s="37" t="s">
        <v>25</v>
      </c>
      <c r="C29" s="37" t="s">
        <v>26</v>
      </c>
      <c r="D29" s="13" t="s">
        <v>27</v>
      </c>
      <c r="E29" s="13">
        <v>1</v>
      </c>
      <c r="F29" s="13">
        <v>1000</v>
      </c>
      <c r="G29" s="13">
        <f t="shared" ref="G29:G31" si="2">E29*F29</f>
        <v>1000</v>
      </c>
      <c r="H29" s="31" t="s">
        <v>16</v>
      </c>
    </row>
    <row r="30" spans="1:8" ht="15" customHeight="1" x14ac:dyDescent="0.3">
      <c r="A30" s="67"/>
      <c r="B30" s="37" t="s">
        <v>31</v>
      </c>
      <c r="C30" s="37" t="s">
        <v>32</v>
      </c>
      <c r="D30" s="13" t="s">
        <v>17</v>
      </c>
      <c r="E30" s="13">
        <v>1</v>
      </c>
      <c r="F30" s="13">
        <v>1000</v>
      </c>
      <c r="G30" s="13">
        <f t="shared" si="2"/>
        <v>1000</v>
      </c>
      <c r="H30" s="31" t="s">
        <v>16</v>
      </c>
    </row>
    <row r="31" spans="1:8" ht="15" customHeight="1" thickBot="1" x14ac:dyDescent="0.35">
      <c r="A31" s="68"/>
      <c r="B31" s="56" t="s">
        <v>33</v>
      </c>
      <c r="C31" s="57" t="s">
        <v>34</v>
      </c>
      <c r="D31" s="58" t="s">
        <v>35</v>
      </c>
      <c r="E31" s="58">
        <v>1</v>
      </c>
      <c r="F31" s="58">
        <v>500</v>
      </c>
      <c r="G31" s="58">
        <f t="shared" si="2"/>
        <v>500</v>
      </c>
      <c r="H31" s="59" t="s">
        <v>16</v>
      </c>
    </row>
    <row r="32" spans="1:8" ht="15" customHeight="1" thickTop="1" thickBot="1" x14ac:dyDescent="0.35">
      <c r="A32" s="71" t="s">
        <v>44</v>
      </c>
      <c r="B32" s="72"/>
      <c r="C32" s="72"/>
      <c r="D32" s="72"/>
      <c r="E32" s="72"/>
      <c r="F32" s="73"/>
      <c r="G32" s="48">
        <f>G27-SUM(G29:G31)</f>
        <v>2500</v>
      </c>
      <c r="H32" s="49" t="s">
        <v>16</v>
      </c>
    </row>
    <row r="33" spans="1:8" ht="15" customHeight="1" thickBot="1" x14ac:dyDescent="0.35">
      <c r="A33" s="8"/>
      <c r="B33" s="21"/>
      <c r="C33" s="21"/>
      <c r="D33" s="21"/>
      <c r="E33" s="21"/>
      <c r="F33" s="21"/>
      <c r="G33" s="52"/>
      <c r="H33" s="52"/>
    </row>
    <row r="34" spans="1:8" ht="15" customHeight="1" thickBot="1" x14ac:dyDescent="0.35">
      <c r="A34" s="40" t="s">
        <v>45</v>
      </c>
      <c r="B34" s="41" t="s">
        <v>7</v>
      </c>
      <c r="C34" s="41" t="s">
        <v>8</v>
      </c>
      <c r="D34" s="42" t="s">
        <v>28</v>
      </c>
      <c r="E34" s="42" t="s">
        <v>38</v>
      </c>
      <c r="F34" s="42" t="s">
        <v>29</v>
      </c>
      <c r="G34" s="42" t="s">
        <v>30</v>
      </c>
      <c r="H34" s="43" t="s">
        <v>13</v>
      </c>
    </row>
    <row r="35" spans="1:8" ht="15" customHeight="1" x14ac:dyDescent="0.3">
      <c r="A35" s="44" t="s">
        <v>46</v>
      </c>
      <c r="B35" s="38" t="s">
        <v>47</v>
      </c>
      <c r="C35" s="16" t="s">
        <v>14</v>
      </c>
      <c r="D35" s="16" t="s">
        <v>48</v>
      </c>
      <c r="E35" s="16" t="s">
        <v>49</v>
      </c>
      <c r="F35" s="16">
        <v>500</v>
      </c>
      <c r="G35" s="16">
        <v>500</v>
      </c>
      <c r="H35" s="45" t="s">
        <v>16</v>
      </c>
    </row>
    <row r="36" spans="1:8" ht="15" customHeight="1" x14ac:dyDescent="0.3">
      <c r="A36" s="46"/>
      <c r="B36" s="37"/>
      <c r="C36" s="37"/>
      <c r="D36" s="13"/>
      <c r="E36" s="13"/>
      <c r="F36" s="13"/>
      <c r="G36" s="13"/>
      <c r="H36" s="31"/>
    </row>
    <row r="37" spans="1:8" ht="15" customHeight="1" x14ac:dyDescent="0.3">
      <c r="A37" s="66" t="s">
        <v>50</v>
      </c>
      <c r="B37" s="37" t="s">
        <v>51</v>
      </c>
      <c r="C37" s="37" t="s">
        <v>14</v>
      </c>
      <c r="D37" s="13" t="s">
        <v>17</v>
      </c>
      <c r="E37" s="13">
        <v>1</v>
      </c>
      <c r="F37" s="13">
        <v>500</v>
      </c>
      <c r="G37" s="13">
        <f>E37*F37</f>
        <v>500</v>
      </c>
      <c r="H37" s="31" t="s">
        <v>16</v>
      </c>
    </row>
    <row r="38" spans="1:8" ht="15.6" x14ac:dyDescent="0.3">
      <c r="A38" s="67"/>
      <c r="B38" s="37"/>
      <c r="C38" s="37"/>
      <c r="D38" s="13"/>
      <c r="E38" s="13"/>
      <c r="F38" s="13"/>
      <c r="G38" s="13"/>
      <c r="H38" s="31"/>
    </row>
    <row r="39" spans="1:8" ht="15" customHeight="1" thickBot="1" x14ac:dyDescent="0.35">
      <c r="A39" s="68"/>
      <c r="B39" s="33"/>
      <c r="C39" s="33"/>
      <c r="D39" s="34"/>
      <c r="E39" s="34"/>
      <c r="F39" s="34"/>
      <c r="G39" s="34"/>
      <c r="H39" s="47"/>
    </row>
    <row r="40" spans="1:8" ht="15" customHeight="1" thickTop="1" thickBot="1" x14ac:dyDescent="0.35">
      <c r="A40" s="53"/>
      <c r="B40" s="69" t="s">
        <v>52</v>
      </c>
      <c r="C40" s="70"/>
      <c r="D40" s="70"/>
      <c r="E40" s="70"/>
      <c r="F40" s="70"/>
      <c r="G40" s="48">
        <f>G35-SUM(G37:G39)</f>
        <v>0</v>
      </c>
      <c r="H40" s="49" t="s">
        <v>16</v>
      </c>
    </row>
    <row r="41" spans="1:8" ht="15" customHeight="1" x14ac:dyDescent="0.3">
      <c r="A41" s="7"/>
      <c r="B41" s="20"/>
      <c r="C41" s="20"/>
      <c r="D41" s="10"/>
      <c r="E41" s="36"/>
      <c r="F41" s="36"/>
      <c r="G41" s="36"/>
      <c r="H41" s="36"/>
    </row>
    <row r="42" spans="1:8" ht="15" customHeight="1" x14ac:dyDescent="0.3">
      <c r="A42" s="20"/>
      <c r="F42" s="1"/>
      <c r="G42" s="1"/>
      <c r="H42" s="1"/>
    </row>
    <row r="43" spans="1:8" ht="15" customHeight="1" x14ac:dyDescent="0.3">
      <c r="F43" s="1"/>
      <c r="G43" s="1"/>
      <c r="H43" s="1"/>
    </row>
    <row r="44" spans="1:8" ht="15" customHeight="1" x14ac:dyDescent="0.3">
      <c r="F44" s="1"/>
      <c r="G44" s="1"/>
      <c r="H44" s="1"/>
    </row>
    <row r="45" spans="1:8" ht="15.6" x14ac:dyDescent="0.3">
      <c r="F45" s="1"/>
      <c r="G45" s="1"/>
      <c r="H45" s="1"/>
    </row>
    <row r="46" spans="1:8" ht="15" customHeight="1" x14ac:dyDescent="0.3">
      <c r="F46" s="1"/>
      <c r="G46" s="1"/>
      <c r="H46" s="1"/>
    </row>
    <row r="47" spans="1:8" s="20" customFormat="1" ht="1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5.6" x14ac:dyDescent="0.3">
      <c r="F48" s="1"/>
      <c r="G48" s="1"/>
      <c r="H48" s="1"/>
    </row>
    <row r="49" spans="6:10" ht="15" customHeight="1" x14ac:dyDescent="0.3">
      <c r="F49" s="1"/>
      <c r="G49" s="1"/>
      <c r="H49" s="1"/>
    </row>
    <row r="50" spans="6:10" ht="15" customHeight="1" x14ac:dyDescent="0.3"/>
    <row r="51" spans="6:10" ht="15" customHeight="1" x14ac:dyDescent="0.3"/>
    <row r="52" spans="6:10" ht="15" customHeight="1" x14ac:dyDescent="0.3"/>
    <row r="53" spans="6:10" ht="15.6" x14ac:dyDescent="0.3"/>
    <row r="54" spans="6:10" ht="15" customHeight="1" x14ac:dyDescent="0.3"/>
    <row r="55" spans="6:10" ht="15" customHeight="1" x14ac:dyDescent="0.3">
      <c r="I55" s="20"/>
    </row>
    <row r="56" spans="6:10" ht="15.6" x14ac:dyDescent="0.3"/>
    <row r="57" spans="6:10" ht="15" customHeight="1" x14ac:dyDescent="0.3">
      <c r="J57" s="20"/>
    </row>
    <row r="58" spans="6:10" ht="15" customHeight="1" x14ac:dyDescent="0.3"/>
    <row r="59" spans="6:10" ht="15" customHeight="1" x14ac:dyDescent="0.3"/>
    <row r="60" spans="6:10" ht="15" customHeight="1" x14ac:dyDescent="0.3"/>
    <row r="61" spans="6:10" ht="15" customHeight="1" x14ac:dyDescent="0.3"/>
    <row r="62" spans="6:10" ht="15" customHeight="1" x14ac:dyDescent="0.3"/>
    <row r="63" spans="6:10" ht="15" customHeight="1" x14ac:dyDescent="0.3"/>
    <row r="64" spans="6:10" ht="15" customHeight="1" x14ac:dyDescent="0.3"/>
    <row r="65" ht="15.6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</sheetData>
  <mergeCells count="10">
    <mergeCell ref="D22:F22"/>
    <mergeCell ref="A1:H1"/>
    <mergeCell ref="A7:H7"/>
    <mergeCell ref="A29:A31"/>
    <mergeCell ref="A37:A39"/>
    <mergeCell ref="B40:F40"/>
    <mergeCell ref="A32:F32"/>
    <mergeCell ref="B24:F24"/>
    <mergeCell ref="D20:F20"/>
    <mergeCell ref="D21:F21"/>
  </mergeCells>
  <conditionalFormatting sqref="G24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1" manualBreakCount="1">
    <brk id="24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Mitchell (Student)</cp:lastModifiedBy>
  <cp:revision/>
  <dcterms:created xsi:type="dcterms:W3CDTF">2025-10-29T19:44:10Z</dcterms:created>
  <dcterms:modified xsi:type="dcterms:W3CDTF">2025-10-29T20:01:09Z</dcterms:modified>
  <cp:category/>
  <cp:contentStatus/>
</cp:coreProperties>
</file>